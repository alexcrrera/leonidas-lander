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c\Documents\GitHub\leonidas-lander\notes\"/>
    </mc:Choice>
  </mc:AlternateContent>
  <xr:revisionPtr revIDLastSave="0" documentId="13_ncr:1_{5E48FEC3-77E7-481D-B60C-66A605D9687A}" xr6:coauthVersionLast="47" xr6:coauthVersionMax="47" xr10:uidLastSave="{00000000-0000-0000-0000-000000000000}"/>
  <bookViews>
    <workbookView xWindow="-120" yWindow="-120" windowWidth="29040" windowHeight="17520" xr2:uid="{F5F24785-2A24-44CD-ABA3-ADA57A5DC66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" i="1" l="1"/>
  <c r="D14" i="1"/>
  <c r="D5" i="1"/>
  <c r="D6" i="1"/>
  <c r="D7" i="1"/>
  <c r="D8" i="1"/>
  <c r="D9" i="1"/>
  <c r="D10" i="1"/>
  <c r="D11" i="1"/>
  <c r="D12" i="1"/>
  <c r="D13" i="1"/>
  <c r="D15" i="1"/>
  <c r="D16" i="1"/>
  <c r="D17" i="1"/>
  <c r="D18" i="1"/>
  <c r="D19" i="1"/>
  <c r="D20" i="1"/>
  <c r="D21" i="1"/>
  <c r="D22" i="1"/>
  <c r="D23" i="1"/>
  <c r="D24" i="1"/>
  <c r="D4" i="1"/>
  <c r="I4" i="1" l="1"/>
  <c r="I6" i="1" s="1"/>
  <c r="I8" i="1" l="1"/>
</calcChain>
</file>

<file path=xl/sharedStrings.xml><?xml version="1.0" encoding="utf-8"?>
<sst xmlns="http://schemas.openxmlformats.org/spreadsheetml/2006/main" count="59" uniqueCount="33">
  <si>
    <t>Item</t>
  </si>
  <si>
    <t>Q</t>
  </si>
  <si>
    <t>Mass</t>
  </si>
  <si>
    <t>Total</t>
  </si>
  <si>
    <t>Landing legs</t>
  </si>
  <si>
    <t>g</t>
  </si>
  <si>
    <t>ESC</t>
  </si>
  <si>
    <t>Expected</t>
  </si>
  <si>
    <t>Diff</t>
  </si>
  <si>
    <t>Edf holder</t>
  </si>
  <si>
    <t>EDF</t>
  </si>
  <si>
    <t>Structure</t>
  </si>
  <si>
    <t>Profile 20cm</t>
  </si>
  <si>
    <t>KST SERVO</t>
  </si>
  <si>
    <t>Simple XT90</t>
  </si>
  <si>
    <t>Flight Computer</t>
  </si>
  <si>
    <t>Structure Holder</t>
  </si>
  <si>
    <t>Cheminee AERO</t>
  </si>
  <si>
    <t>Transition</t>
  </si>
  <si>
    <t>Stator AERO</t>
  </si>
  <si>
    <t>LEONIDAS V3 LANDER WEIGHT BUDGET</t>
  </si>
  <si>
    <t>VN300 &amp; cable</t>
  </si>
  <si>
    <t>LiDAR &amp; cable</t>
  </si>
  <si>
    <t>OpticalFlow &amp; cable</t>
  </si>
  <si>
    <t>GNSS cable &amp; antenna</t>
  </si>
  <si>
    <t>Telemetry &amp; cable</t>
  </si>
  <si>
    <t>:</t>
  </si>
  <si>
    <t>weighted</t>
  </si>
  <si>
    <t>online</t>
  </si>
  <si>
    <t>Battery</t>
  </si>
  <si>
    <t>Carbon fiber tube</t>
  </si>
  <si>
    <t>Servo Holder</t>
  </si>
  <si>
    <t>estimated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</si>
</sst>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1" xfId="0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4" borderId="1" xfId="0" applyFill="1" applyBorder="1"/>
    <xf numFmtId="0" fontId="0" fillId="4" borderId="0" xfId="0" applyFill="1"/>
    <xf numFmtId="0" fontId="0" fillId="5" borderId="0" xfId="0" applyFill="1"/>
    <xf numFmtId="0" fontId="0" fillId="5" borderId="1" xfId="0" applyFill="1" applyBorder="1"/>
    <xf numFmtId="0" fontId="2" fillId="4" borderId="5" xfId="0" applyFont="1" applyFill="1" applyBorder="1" applyAlignment="1">
      <alignment horizontal="center" vertical="center"/>
    </xf>
    <xf numFmtId="0" fontId="4" fillId="5" borderId="3" xfId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5" borderId="3" xfId="1" applyFill="1" applyBorder="1" applyAlignment="1">
      <alignment horizontal="center" vertical="center"/>
    </xf>
    <xf numFmtId="0" fontId="5" fillId="6" borderId="1" xfId="0" applyFont="1" applyFill="1" applyBorder="1"/>
    <xf numFmtId="0" fontId="0" fillId="0" borderId="1" xfId="0" applyFill="1" applyBorder="1"/>
    <xf numFmtId="0" fontId="3" fillId="0" borderId="3" xfId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7" borderId="3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1" xfId="0" applyFill="1" applyBorder="1"/>
    <xf numFmtId="0" fontId="0" fillId="7" borderId="0" xfId="0" applyFill="1"/>
    <xf numFmtId="0" fontId="1" fillId="2" borderId="0" xfId="0" applyFont="1" applyFill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v>Weight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D20-4BB4-AF72-9DF1527F5DF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D20-4BB4-AF72-9DF1527F5DF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D20-4BB4-AF72-9DF1527F5DF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D20-4BB4-AF72-9DF1527F5DF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D20-4BB4-AF72-9DF1527F5DF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D20-4BB4-AF72-9DF1527F5DF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D20-4BB4-AF72-9DF1527F5DF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D20-4BB4-AF72-9DF1527F5DF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D20-4BB4-AF72-9DF1527F5DF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D20-4BB4-AF72-9DF1527F5DF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D20-4BB4-AF72-9DF1527F5DF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5D20-4BB4-AF72-9DF1527F5DFC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5D20-4BB4-AF72-9DF1527F5DFC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5D20-4BB4-AF72-9DF1527F5DFC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5D20-4BB4-AF72-9DF1527F5DFC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5D20-4BB4-AF72-9DF1527F5DFC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5D20-4BB4-AF72-9DF1527F5DFC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5D20-4BB4-AF72-9DF1527F5DFC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5D20-4BB4-AF72-9DF1527F5DFC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5D20-4BB4-AF72-9DF1527F5DFC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5D20-4BB4-AF72-9DF1527F5DF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Feuil1!$A$4:$A$23</c:f>
              <c:strCache>
                <c:ptCount val="20"/>
                <c:pt idx="0">
                  <c:v>Landing legs</c:v>
                </c:pt>
                <c:pt idx="1">
                  <c:v>ESC</c:v>
                </c:pt>
                <c:pt idx="2">
                  <c:v>Battery</c:v>
                </c:pt>
                <c:pt idx="3">
                  <c:v>Edf holder</c:v>
                </c:pt>
                <c:pt idx="4">
                  <c:v>EDF</c:v>
                </c:pt>
                <c:pt idx="5">
                  <c:v>Telemetry &amp; cable</c:v>
                </c:pt>
                <c:pt idx="6">
                  <c:v>VN300 &amp; cable</c:v>
                </c:pt>
                <c:pt idx="7">
                  <c:v>LiDAR &amp; cable</c:v>
                </c:pt>
                <c:pt idx="8">
                  <c:v>OpticalFlow &amp; cable</c:v>
                </c:pt>
                <c:pt idx="9">
                  <c:v>GNSS cable &amp; antenna</c:v>
                </c:pt>
                <c:pt idx="10">
                  <c:v>Profile 20cm</c:v>
                </c:pt>
                <c:pt idx="11">
                  <c:v>Servo Holder</c:v>
                </c:pt>
                <c:pt idx="12">
                  <c:v>KST SERVO</c:v>
                </c:pt>
                <c:pt idx="13">
                  <c:v>Simple XT90</c:v>
                </c:pt>
                <c:pt idx="14">
                  <c:v>Flight Computer</c:v>
                </c:pt>
                <c:pt idx="15">
                  <c:v>Structure Holder</c:v>
                </c:pt>
                <c:pt idx="16">
                  <c:v>Cheminee AERO</c:v>
                </c:pt>
                <c:pt idx="17">
                  <c:v>Transition</c:v>
                </c:pt>
                <c:pt idx="18">
                  <c:v>Stator AERO</c:v>
                </c:pt>
                <c:pt idx="19">
                  <c:v>Carbon fiber tube</c:v>
                </c:pt>
              </c:strCache>
            </c:strRef>
          </c:cat>
          <c:val>
            <c:numRef>
              <c:f>Feuil1!$D$4:$D$24</c:f>
              <c:numCache>
                <c:formatCode>General</c:formatCode>
                <c:ptCount val="21"/>
                <c:pt idx="0">
                  <c:v>120</c:v>
                </c:pt>
                <c:pt idx="1">
                  <c:v>80</c:v>
                </c:pt>
                <c:pt idx="2">
                  <c:v>530</c:v>
                </c:pt>
                <c:pt idx="3">
                  <c:v>0</c:v>
                </c:pt>
                <c:pt idx="4">
                  <c:v>440</c:v>
                </c:pt>
                <c:pt idx="5">
                  <c:v>25</c:v>
                </c:pt>
                <c:pt idx="6">
                  <c:v>45</c:v>
                </c:pt>
                <c:pt idx="7">
                  <c:v>26</c:v>
                </c:pt>
                <c:pt idx="8">
                  <c:v>12</c:v>
                </c:pt>
                <c:pt idx="9">
                  <c:v>60</c:v>
                </c:pt>
                <c:pt idx="10">
                  <c:v>104</c:v>
                </c:pt>
                <c:pt idx="11">
                  <c:v>60</c:v>
                </c:pt>
                <c:pt idx="12">
                  <c:v>60</c:v>
                </c:pt>
                <c:pt idx="13">
                  <c:v>42</c:v>
                </c:pt>
                <c:pt idx="14">
                  <c:v>37</c:v>
                </c:pt>
                <c:pt idx="15">
                  <c:v>45</c:v>
                </c:pt>
                <c:pt idx="16">
                  <c:v>0</c:v>
                </c:pt>
                <c:pt idx="17">
                  <c:v>0</c:v>
                </c:pt>
                <c:pt idx="18">
                  <c:v>30</c:v>
                </c:pt>
                <c:pt idx="19">
                  <c:v>12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B-421A-B6BD-52FEC16B1EED}"/>
            </c:ext>
          </c:extLst>
        </c:ser>
        <c:dLbls>
          <c:showLegendKey val="0"/>
          <c:showVal val="1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162358</xdr:colOff>
      <xdr:row>9</xdr:row>
      <xdr:rowOff>10824</xdr:rowOff>
    </xdr:from>
    <xdr:to>
      <xdr:col>36</xdr:col>
      <xdr:colOff>100263</xdr:colOff>
      <xdr:row>59</xdr:row>
      <xdr:rowOff>26831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3FC9228-5399-1278-99EF-41FEEC2FA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hobbyking.com/en_us/turnigy-nano-tech-plus-3000mah-3s-70c-lipo-battery-pack-w-xt90.html?srsltid=AfmBOoqRCE6KpDOVjOqM6RyHdvTFc2FLSovDoro1nFC30BkdZ-zcraiz" TargetMode="External"/><Relationship Id="rId2" Type="http://schemas.openxmlformats.org/officeDocument/2006/relationships/hyperlink" Target="https://hobbyking.com/dr-mad-thrust-90mm-12-blade-alloy-edf-1600kv-motor-2100w-6s.html?srsltid=AfmBOooh3zInOLOmeOM-EXRGBrj3bFHkqiqOsjwa6bwaNe8eHgqOCABC" TargetMode="External"/><Relationship Id="rId1" Type="http://schemas.openxmlformats.org/officeDocument/2006/relationships/hyperlink" Target="https://hobbyking.com/es_es/aerostar-100a-rvs-g2-32bit-2-6s-electronic-speed-controller-w-reverse-function-8a-5-6v-sbec.html?srsltid=AfmBOooQcBt7Hf1SFMpz7GYUluZOSbSNrRvWplm5zt4RgHCz04smnUtu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www.amazon.fr/sourcing-map-Carbone-Envelopp%C3%A9-Quadcopter/dp/B099881YNL/ref=sr_1_1?__mk_fr_FR=%C3%85M%C3%85%C5%BD%C3%95%C3%91&amp;crid=34V7UZTSFM6JI&amp;dib=eyJ2IjoiMSJ9.NnFZVPT_o-epAEIQVC-dGtfw_VIJKtRwwvZzxZfnl9MPzB2vE38vwkvJQJykPbDgSli0esrX3qCXEm255yMCOhfxGNsA0QR8SoQqun-WMWnrhetifHyK4o4lGa9o0_ASQ6fi83jRgsj1nTEOFjKnBR_UkvUbDcRXMModiJVyGGx7kdVxaGVP5Y1OmuRvgroPQ_7BywTJN-vGudYhJ-0q8TcF9HZthyBzK26OZucHY1vrYl3elNu7JwYn1xc3S5mLEU6gNG-A2oxsaP_b3C4K_WOJIuduu-koyVAAIF18ob0.QuHKWJwMpBaZGC4y-yemUSPpoz5QzbGnCZvaLJv0GLc&amp;dib_tag=se&amp;keywords=tube+carbonne+200mm&amp;qid=1786888403&amp;sprefix=tube+carbonne+200mm%2Caps%2C300&amp;sr=8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43134-4BEF-4687-9116-4D9336CD4254}">
  <dimension ref="A1:P34"/>
  <sheetViews>
    <sheetView tabSelected="1" topLeftCell="A2" zoomScale="67" zoomScaleNormal="400" workbookViewId="0">
      <selection activeCell="A27" sqref="A27"/>
    </sheetView>
  </sheetViews>
  <sheetFormatPr baseColWidth="10" defaultRowHeight="15" x14ac:dyDescent="0.25"/>
  <cols>
    <col min="1" max="1" width="19.140625" customWidth="1"/>
    <col min="2" max="2" width="12.7109375" customWidth="1"/>
    <col min="5" max="5" width="3.140625" customWidth="1"/>
    <col min="15" max="15" width="11.42578125" customWidth="1"/>
  </cols>
  <sheetData>
    <row r="1" spans="1:16" x14ac:dyDescent="0.25">
      <c r="A1" s="27" t="s">
        <v>20</v>
      </c>
      <c r="B1" s="27"/>
      <c r="C1" s="27"/>
      <c r="D1" s="27"/>
      <c r="E1" s="27"/>
      <c r="F1" s="27"/>
      <c r="G1" s="27"/>
    </row>
    <row r="2" spans="1:16" x14ac:dyDescent="0.25">
      <c r="A2" s="27"/>
      <c r="B2" s="27"/>
      <c r="C2" s="27"/>
      <c r="D2" s="27"/>
      <c r="E2" s="27"/>
      <c r="F2" s="27"/>
      <c r="G2" s="27"/>
    </row>
    <row r="3" spans="1:16" x14ac:dyDescent="0.25">
      <c r="A3" s="2" t="s">
        <v>0</v>
      </c>
      <c r="B3" s="3" t="s">
        <v>1</v>
      </c>
      <c r="C3" s="3" t="s">
        <v>2</v>
      </c>
      <c r="D3" s="28" t="s">
        <v>3</v>
      </c>
      <c r="E3" s="29"/>
    </row>
    <row r="4" spans="1:16" x14ac:dyDescent="0.25">
      <c r="A4" s="11" t="s">
        <v>4</v>
      </c>
      <c r="B4" s="20">
        <v>4</v>
      </c>
      <c r="C4" s="7">
        <v>30</v>
      </c>
      <c r="D4" s="7">
        <f>C4*B4</f>
        <v>120</v>
      </c>
      <c r="E4" s="7" t="s">
        <v>5</v>
      </c>
      <c r="H4" s="16" t="s">
        <v>3</v>
      </c>
      <c r="I4" s="16">
        <f>SUM(D3:D34)</f>
        <v>1728</v>
      </c>
      <c r="J4" s="16" t="s">
        <v>5</v>
      </c>
      <c r="N4" s="8"/>
      <c r="O4" t="s">
        <v>26</v>
      </c>
      <c r="P4" t="s">
        <v>27</v>
      </c>
    </row>
    <row r="5" spans="1:16" x14ac:dyDescent="0.25">
      <c r="A5" s="12" t="s">
        <v>6</v>
      </c>
      <c r="B5" s="21">
        <v>1</v>
      </c>
      <c r="C5" s="10">
        <v>80</v>
      </c>
      <c r="D5" s="10">
        <f t="shared" ref="D5:D24" si="0">C5*B5</f>
        <v>80</v>
      </c>
      <c r="E5" s="10" t="s">
        <v>5</v>
      </c>
      <c r="F5" s="4"/>
      <c r="H5" s="1" t="s">
        <v>7</v>
      </c>
      <c r="I5" s="1">
        <v>2000</v>
      </c>
      <c r="J5" s="1" t="s">
        <v>5</v>
      </c>
      <c r="N5" s="9"/>
      <c r="O5" t="s">
        <v>26</v>
      </c>
      <c r="P5" t="s">
        <v>28</v>
      </c>
    </row>
    <row r="6" spans="1:16" x14ac:dyDescent="0.25">
      <c r="A6" s="15" t="s">
        <v>29</v>
      </c>
      <c r="B6" s="21">
        <v>2</v>
      </c>
      <c r="C6" s="10">
        <v>265</v>
      </c>
      <c r="D6" s="10">
        <f t="shared" si="0"/>
        <v>530</v>
      </c>
      <c r="E6" s="10" t="s">
        <v>5</v>
      </c>
      <c r="F6" s="4"/>
      <c r="H6" s="1" t="s">
        <v>8</v>
      </c>
      <c r="I6" s="1">
        <f>I5-I4</f>
        <v>272</v>
      </c>
      <c r="J6" s="1" t="s">
        <v>5</v>
      </c>
      <c r="N6" s="26"/>
      <c r="O6" t="s">
        <v>26</v>
      </c>
      <c r="P6" t="s">
        <v>32</v>
      </c>
    </row>
    <row r="7" spans="1:16" x14ac:dyDescent="0.25">
      <c r="A7" s="13" t="s">
        <v>9</v>
      </c>
      <c r="B7" s="22"/>
      <c r="C7" s="1"/>
      <c r="D7" s="7">
        <f t="shared" si="0"/>
        <v>0</v>
      </c>
      <c r="E7" s="1" t="s">
        <v>5</v>
      </c>
      <c r="F7" s="4"/>
      <c r="H7" s="1"/>
      <c r="I7" s="1"/>
      <c r="J7" s="1"/>
    </row>
    <row r="8" spans="1:16" x14ac:dyDescent="0.25">
      <c r="A8" s="12" t="s">
        <v>10</v>
      </c>
      <c r="B8" s="21">
        <v>1</v>
      </c>
      <c r="C8" s="10">
        <v>440</v>
      </c>
      <c r="D8" s="10">
        <f t="shared" si="0"/>
        <v>440</v>
      </c>
      <c r="E8" s="10" t="s">
        <v>5</v>
      </c>
      <c r="F8" s="4"/>
      <c r="H8" s="1" t="s">
        <v>11</v>
      </c>
      <c r="I8" s="1">
        <f>I5-I4</f>
        <v>272</v>
      </c>
      <c r="J8" s="1" t="s">
        <v>5</v>
      </c>
    </row>
    <row r="9" spans="1:16" x14ac:dyDescent="0.25">
      <c r="A9" s="14" t="s">
        <v>25</v>
      </c>
      <c r="B9" s="20">
        <v>1</v>
      </c>
      <c r="C9" s="7">
        <v>25</v>
      </c>
      <c r="D9" s="7">
        <f t="shared" si="0"/>
        <v>25</v>
      </c>
      <c r="E9" s="7" t="s">
        <v>5</v>
      </c>
      <c r="F9" s="4"/>
    </row>
    <row r="10" spans="1:16" x14ac:dyDescent="0.25">
      <c r="A10" s="14" t="s">
        <v>21</v>
      </c>
      <c r="B10" s="20">
        <v>1</v>
      </c>
      <c r="C10" s="7">
        <v>45</v>
      </c>
      <c r="D10" s="7">
        <f t="shared" si="0"/>
        <v>45</v>
      </c>
      <c r="E10" s="7" t="s">
        <v>5</v>
      </c>
      <c r="F10" s="4"/>
    </row>
    <row r="11" spans="1:16" x14ac:dyDescent="0.25">
      <c r="A11" s="14" t="s">
        <v>22</v>
      </c>
      <c r="B11" s="20">
        <v>1</v>
      </c>
      <c r="C11" s="7">
        <v>26</v>
      </c>
      <c r="D11" s="7">
        <f t="shared" si="0"/>
        <v>26</v>
      </c>
      <c r="E11" s="7" t="s">
        <v>5</v>
      </c>
      <c r="F11" s="4"/>
    </row>
    <row r="12" spans="1:16" x14ac:dyDescent="0.25">
      <c r="A12" s="14" t="s">
        <v>23</v>
      </c>
      <c r="B12" s="20">
        <v>1</v>
      </c>
      <c r="C12" s="7">
        <v>12</v>
      </c>
      <c r="D12" s="7">
        <f t="shared" si="0"/>
        <v>12</v>
      </c>
      <c r="E12" s="7"/>
      <c r="F12" s="4"/>
    </row>
    <row r="13" spans="1:16" x14ac:dyDescent="0.25">
      <c r="A13" s="14" t="s">
        <v>24</v>
      </c>
      <c r="B13" s="20">
        <v>2</v>
      </c>
      <c r="C13" s="7">
        <v>30</v>
      </c>
      <c r="D13" s="7">
        <f t="shared" si="0"/>
        <v>60</v>
      </c>
      <c r="E13" s="7" t="s">
        <v>5</v>
      </c>
      <c r="F13" s="4"/>
    </row>
    <row r="14" spans="1:16" x14ac:dyDescent="0.25">
      <c r="A14" s="13" t="s">
        <v>12</v>
      </c>
      <c r="B14" s="22">
        <v>4</v>
      </c>
      <c r="C14" s="1">
        <f>1.3 *20</f>
        <v>26</v>
      </c>
      <c r="D14" s="17">
        <f t="shared" si="0"/>
        <v>104</v>
      </c>
      <c r="E14" s="1" t="s">
        <v>5</v>
      </c>
      <c r="F14" s="4"/>
    </row>
    <row r="15" spans="1:16" x14ac:dyDescent="0.25">
      <c r="A15" s="23" t="s">
        <v>31</v>
      </c>
      <c r="B15" s="24">
        <v>4</v>
      </c>
      <c r="C15" s="25">
        <v>15</v>
      </c>
      <c r="D15" s="25">
        <f t="shared" si="0"/>
        <v>60</v>
      </c>
      <c r="E15" s="25" t="s">
        <v>5</v>
      </c>
      <c r="F15" s="4"/>
    </row>
    <row r="16" spans="1:16" x14ac:dyDescent="0.25">
      <c r="A16" s="19" t="s">
        <v>13</v>
      </c>
      <c r="B16" s="21">
        <v>4</v>
      </c>
      <c r="C16" s="10">
        <v>15</v>
      </c>
      <c r="D16" s="10">
        <f t="shared" si="0"/>
        <v>60</v>
      </c>
      <c r="E16" s="10" t="s">
        <v>5</v>
      </c>
      <c r="F16" s="4"/>
    </row>
    <row r="17" spans="1:6" x14ac:dyDescent="0.25">
      <c r="A17" s="19" t="s">
        <v>14</v>
      </c>
      <c r="B17" s="21">
        <v>1</v>
      </c>
      <c r="C17" s="10">
        <v>42</v>
      </c>
      <c r="D17" s="10">
        <f t="shared" si="0"/>
        <v>42</v>
      </c>
      <c r="E17" s="10" t="s">
        <v>5</v>
      </c>
      <c r="F17" s="4"/>
    </row>
    <row r="18" spans="1:6" x14ac:dyDescent="0.25">
      <c r="A18" s="14" t="s">
        <v>15</v>
      </c>
      <c r="B18" s="20">
        <v>1</v>
      </c>
      <c r="C18" s="7">
        <v>37</v>
      </c>
      <c r="D18" s="7">
        <f t="shared" si="0"/>
        <v>37</v>
      </c>
      <c r="E18" s="7" t="s">
        <v>5</v>
      </c>
      <c r="F18" s="4"/>
    </row>
    <row r="19" spans="1:6" x14ac:dyDescent="0.25">
      <c r="A19" s="14" t="s">
        <v>16</v>
      </c>
      <c r="B19" s="20">
        <v>3</v>
      </c>
      <c r="C19" s="7">
        <v>15</v>
      </c>
      <c r="D19" s="7">
        <f t="shared" si="0"/>
        <v>45</v>
      </c>
      <c r="E19" s="7" t="s">
        <v>5</v>
      </c>
      <c r="F19" s="4"/>
    </row>
    <row r="20" spans="1:6" x14ac:dyDescent="0.25">
      <c r="A20" s="13" t="s">
        <v>17</v>
      </c>
      <c r="B20" s="22"/>
      <c r="C20" s="1">
        <v>40</v>
      </c>
      <c r="D20" s="17">
        <f t="shared" si="0"/>
        <v>0</v>
      </c>
      <c r="E20" s="1" t="s">
        <v>5</v>
      </c>
      <c r="F20" s="4"/>
    </row>
    <row r="21" spans="1:6" x14ac:dyDescent="0.25">
      <c r="A21" s="13" t="s">
        <v>18</v>
      </c>
      <c r="B21" s="22"/>
      <c r="C21" s="1">
        <v>11</v>
      </c>
      <c r="D21" s="17">
        <f t="shared" si="0"/>
        <v>0</v>
      </c>
      <c r="E21" s="1" t="s">
        <v>5</v>
      </c>
      <c r="F21" s="4"/>
    </row>
    <row r="22" spans="1:6" x14ac:dyDescent="0.25">
      <c r="A22" s="23" t="s">
        <v>19</v>
      </c>
      <c r="B22" s="24">
        <v>1</v>
      </c>
      <c r="C22" s="25">
        <v>30</v>
      </c>
      <c r="D22" s="25">
        <f t="shared" si="0"/>
        <v>30</v>
      </c>
      <c r="E22" s="25" t="s">
        <v>5</v>
      </c>
      <c r="F22" s="4"/>
    </row>
    <row r="23" spans="1:6" x14ac:dyDescent="0.25">
      <c r="A23" s="18" t="s">
        <v>30</v>
      </c>
      <c r="B23" s="22">
        <v>2</v>
      </c>
      <c r="C23" s="1">
        <v>6</v>
      </c>
      <c r="D23" s="17">
        <f t="shared" si="0"/>
        <v>12</v>
      </c>
      <c r="E23" s="1" t="s">
        <v>5</v>
      </c>
      <c r="F23" s="4"/>
    </row>
    <row r="24" spans="1:6" x14ac:dyDescent="0.25">
      <c r="A24" s="13"/>
      <c r="B24" s="22"/>
      <c r="C24" s="1"/>
      <c r="D24" s="17">
        <f t="shared" si="0"/>
        <v>0</v>
      </c>
      <c r="E24" s="1" t="s">
        <v>5</v>
      </c>
      <c r="F24" s="4"/>
    </row>
    <row r="25" spans="1:6" x14ac:dyDescent="0.25">
      <c r="A25" s="13"/>
      <c r="B25" s="22"/>
      <c r="C25" s="1"/>
      <c r="D25" s="17"/>
      <c r="E25" s="1"/>
      <c r="F25" s="4"/>
    </row>
    <row r="26" spans="1:6" x14ac:dyDescent="0.25">
      <c r="A26" s="13"/>
      <c r="B26" s="22"/>
      <c r="C26" s="1"/>
      <c r="D26" s="1"/>
      <c r="E26" s="1"/>
      <c r="F26" s="4"/>
    </row>
    <row r="27" spans="1:6" x14ac:dyDescent="0.25">
      <c r="A27" s="13"/>
      <c r="B27" s="1"/>
      <c r="C27" s="1"/>
      <c r="D27" s="1"/>
      <c r="E27" s="1"/>
      <c r="F27" s="4"/>
    </row>
    <row r="28" spans="1:6" x14ac:dyDescent="0.25">
      <c r="A28" s="13"/>
      <c r="B28" s="1"/>
      <c r="C28" s="1"/>
      <c r="D28" s="1"/>
      <c r="E28" s="1"/>
      <c r="F28" s="4"/>
    </row>
    <row r="29" spans="1:6" x14ac:dyDescent="0.25">
      <c r="A29" s="13"/>
      <c r="B29" s="1"/>
      <c r="C29" s="1"/>
      <c r="D29" s="1"/>
      <c r="E29" s="1"/>
      <c r="F29" s="4"/>
    </row>
    <row r="30" spans="1:6" x14ac:dyDescent="0.25">
      <c r="A30" s="13"/>
      <c r="B30" s="1"/>
      <c r="C30" s="1"/>
      <c r="D30" s="1"/>
      <c r="E30" s="1"/>
      <c r="F30" s="4"/>
    </row>
    <row r="31" spans="1:6" x14ac:dyDescent="0.25">
      <c r="A31" s="13"/>
      <c r="B31" s="1"/>
      <c r="C31" s="1"/>
      <c r="D31" s="1"/>
      <c r="E31" s="1"/>
      <c r="F31" s="4"/>
    </row>
    <row r="32" spans="1:6" x14ac:dyDescent="0.25">
      <c r="A32" s="13"/>
      <c r="B32" s="1"/>
      <c r="C32" s="1"/>
      <c r="D32" s="1"/>
      <c r="E32" s="1"/>
      <c r="F32" s="4"/>
    </row>
    <row r="33" spans="1:6" x14ac:dyDescent="0.25">
      <c r="A33" s="5"/>
      <c r="B33" s="1"/>
      <c r="C33" s="1"/>
      <c r="D33" s="1"/>
      <c r="E33" s="1"/>
      <c r="F33" s="4"/>
    </row>
    <row r="34" spans="1:6" ht="15.75" thickBot="1" x14ac:dyDescent="0.3">
      <c r="A34" s="6"/>
      <c r="B34" s="1"/>
      <c r="C34" s="1"/>
      <c r="D34" s="1"/>
      <c r="E34" s="1"/>
      <c r="F34" s="4"/>
    </row>
  </sheetData>
  <mergeCells count="2">
    <mergeCell ref="A1:G2"/>
    <mergeCell ref="D3:E3"/>
  </mergeCells>
  <hyperlinks>
    <hyperlink ref="A5" r:id="rId1" xr:uid="{640E7816-800A-44B6-B254-3F7496FE2862}"/>
    <hyperlink ref="A8" r:id="rId2" xr:uid="{6CFE664B-910F-4B72-BAD9-44B28ABF7916}"/>
    <hyperlink ref="A6" r:id="rId3" xr:uid="{39CF0902-36CF-48A1-A2B5-4D86A9F166A5}"/>
    <hyperlink ref="A23" r:id="rId4" xr:uid="{9B054A69-B1E8-4635-BDA3-D7F9B30F1DAA}"/>
  </hyperlinks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Carrera</dc:creator>
  <cp:lastModifiedBy>Alex Carrera</cp:lastModifiedBy>
  <dcterms:created xsi:type="dcterms:W3CDTF">2026-08-16T13:17:24Z</dcterms:created>
  <dcterms:modified xsi:type="dcterms:W3CDTF">2026-08-16T15:17:04Z</dcterms:modified>
</cp:coreProperties>
</file>