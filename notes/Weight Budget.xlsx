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c\Documents\GitHub\leonidas-lander\notes\"/>
    </mc:Choice>
  </mc:AlternateContent>
  <xr:revisionPtr revIDLastSave="0" documentId="13_ncr:1_{802C29BA-1FA4-43AA-A5FC-0A880A887F40}" xr6:coauthVersionLast="47" xr6:coauthVersionMax="47" xr10:uidLastSave="{00000000-0000-0000-0000-000000000000}"/>
  <bookViews>
    <workbookView xWindow="-120" yWindow="-120" windowWidth="38640" windowHeight="21120" xr2:uid="{F5F24785-2A24-44CD-ABA3-ADA57A5DC66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9" i="1" l="1"/>
  <c r="C39" i="1" s="1"/>
  <c r="F45" i="1"/>
  <c r="C38" i="1"/>
  <c r="B38" i="1"/>
  <c r="D49" i="1"/>
  <c r="E45" i="1"/>
  <c r="H45" i="1"/>
  <c r="G45" i="1"/>
  <c r="C14" i="1"/>
  <c r="F39" i="1"/>
  <c r="G15" i="1"/>
  <c r="S14" i="1"/>
  <c r="R14" i="1"/>
  <c r="R15" i="1"/>
  <c r="R16" i="1"/>
  <c r="R17" i="1"/>
  <c r="R18" i="1"/>
  <c r="R19" i="1"/>
  <c r="R20" i="1"/>
  <c r="R21" i="1"/>
  <c r="R13" i="1"/>
  <c r="Q13" i="1"/>
  <c r="S13" i="1" s="1"/>
  <c r="Q14" i="1"/>
  <c r="Q18" i="1"/>
  <c r="S18" i="1" s="1"/>
  <c r="Q19" i="1"/>
  <c r="S19" i="1" s="1"/>
  <c r="Q20" i="1"/>
  <c r="S20" i="1" s="1"/>
  <c r="Q21" i="1"/>
  <c r="S21" i="1" s="1"/>
  <c r="P16" i="1"/>
  <c r="Q16" i="1" s="1"/>
  <c r="S16" i="1" s="1"/>
  <c r="P15" i="1"/>
  <c r="Q15" i="1" s="1"/>
  <c r="S15" i="1" s="1"/>
  <c r="AA5" i="1"/>
  <c r="AA6" i="1"/>
  <c r="AA4" i="1"/>
  <c r="D14" i="1"/>
  <c r="H14" i="1" s="1"/>
  <c r="D5" i="1"/>
  <c r="D6" i="1"/>
  <c r="D7" i="1"/>
  <c r="D8" i="1"/>
  <c r="D9" i="1"/>
  <c r="D10" i="1"/>
  <c r="D11" i="1"/>
  <c r="D12" i="1"/>
  <c r="D13" i="1"/>
  <c r="D15" i="1"/>
  <c r="D17" i="1"/>
  <c r="D18" i="1"/>
  <c r="D19" i="1"/>
  <c r="D20" i="1"/>
  <c r="D21" i="1"/>
  <c r="D22" i="1"/>
  <c r="D23" i="1"/>
  <c r="D24" i="1"/>
  <c r="D4" i="1"/>
  <c r="W14" i="1" s="1"/>
  <c r="X14" i="1" s="1"/>
  <c r="W13" i="1" l="1"/>
  <c r="F40" i="1"/>
  <c r="P17" i="1"/>
  <c r="Q17" i="1" s="1"/>
  <c r="S17" i="1" s="1"/>
  <c r="J4" i="1"/>
  <c r="J6" i="1" s="1"/>
  <c r="J8" i="1" l="1"/>
</calcChain>
</file>

<file path=xl/sharedStrings.xml><?xml version="1.0" encoding="utf-8"?>
<sst xmlns="http://schemas.openxmlformats.org/spreadsheetml/2006/main" count="78" uniqueCount="51">
  <si>
    <t>Item</t>
  </si>
  <si>
    <t>Q</t>
  </si>
  <si>
    <t>Mass</t>
  </si>
  <si>
    <t>Total</t>
  </si>
  <si>
    <t>Landing legs</t>
  </si>
  <si>
    <t>g</t>
  </si>
  <si>
    <t>ESC</t>
  </si>
  <si>
    <t>Expected</t>
  </si>
  <si>
    <t>Diff</t>
  </si>
  <si>
    <t>Edf holder</t>
  </si>
  <si>
    <t>EDF</t>
  </si>
  <si>
    <t>Structure</t>
  </si>
  <si>
    <t>Profile 20cm</t>
  </si>
  <si>
    <t>Simple XT90</t>
  </si>
  <si>
    <t>Flight Computer</t>
  </si>
  <si>
    <t>Structure Holder</t>
  </si>
  <si>
    <t>Cheminee AERO</t>
  </si>
  <si>
    <t>Transition</t>
  </si>
  <si>
    <t>Stator AERO</t>
  </si>
  <si>
    <t>LEONIDAS V3 LANDER WEIGHT BUDGET</t>
  </si>
  <si>
    <t>VN300 &amp; cable</t>
  </si>
  <si>
    <t>LiDAR &amp; cable</t>
  </si>
  <si>
    <t>OpticalFlow &amp; cable</t>
  </si>
  <si>
    <t>GNSS cable &amp; antenna</t>
  </si>
  <si>
    <t>Telemetry &amp; cable</t>
  </si>
  <si>
    <t>:</t>
  </si>
  <si>
    <t>weighted</t>
  </si>
  <si>
    <t>online</t>
  </si>
  <si>
    <t>Battery</t>
  </si>
  <si>
    <t>Carbon fiber tube</t>
  </si>
  <si>
    <t>Servo Holder</t>
  </si>
  <si>
    <t>estimated</t>
  </si>
  <si>
    <t>Turnigy Nano-Tech Plus 3000mAh 3S 70C LiPo Battery Pack w/XT90</t>
  </si>
  <si>
    <t>Quantity</t>
  </si>
  <si>
    <t>Turnigy Heavy Duty 5000mAh 3S 60C Lipo Pack w/XT-90</t>
  </si>
  <si>
    <t>Weight</t>
  </si>
  <si>
    <t>Ah</t>
  </si>
  <si>
    <t>Turnigy Heavy Duty 5000mAh 6S 60C LiPo Pack avec XT90</t>
  </si>
  <si>
    <t>S</t>
  </si>
  <si>
    <t>S*kg/Ah</t>
  </si>
  <si>
    <t>W</t>
  </si>
  <si>
    <t>kgf</t>
  </si>
  <si>
    <t>V</t>
  </si>
  <si>
    <t>A</t>
  </si>
  <si>
    <t>R</t>
  </si>
  <si>
    <t>Str</t>
  </si>
  <si>
    <t>Stat</t>
  </si>
  <si>
    <t>Elec</t>
  </si>
  <si>
    <t>Batt</t>
  </si>
  <si>
    <t>Partial assembly</t>
  </si>
  <si>
    <t>CARBON: 10g/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</si>
</sst>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4" borderId="1" xfId="0" applyFill="1" applyBorder="1"/>
    <xf numFmtId="0" fontId="0" fillId="4" borderId="0" xfId="0" applyFill="1"/>
    <xf numFmtId="0" fontId="0" fillId="5" borderId="0" xfId="0" applyFill="1"/>
    <xf numFmtId="0" fontId="0" fillId="5" borderId="1" xfId="0" applyFill="1" applyBorder="1"/>
    <xf numFmtId="0" fontId="2" fillId="4" borderId="5" xfId="0" applyFont="1" applyFill="1" applyBorder="1" applyAlignment="1">
      <alignment horizontal="center" vertical="center"/>
    </xf>
    <xf numFmtId="0" fontId="4" fillId="5" borderId="3" xfId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5" borderId="3" xfId="1" applyFill="1" applyBorder="1" applyAlignment="1">
      <alignment horizontal="center" vertical="center"/>
    </xf>
    <xf numFmtId="0" fontId="5" fillId="6" borderId="1" xfId="0" applyFont="1" applyFill="1" applyBorder="1"/>
    <xf numFmtId="0" fontId="0" fillId="0" borderId="1" xfId="0" applyFill="1" applyBorder="1"/>
    <xf numFmtId="0" fontId="3" fillId="0" borderId="3" xfId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7" borderId="3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0" fontId="0" fillId="7" borderId="0" xfId="0" applyFill="1"/>
    <xf numFmtId="0" fontId="3" fillId="0" borderId="0" xfId="1"/>
    <xf numFmtId="0" fontId="1" fillId="3" borderId="0" xfId="0" applyFont="1" applyFill="1" applyBorder="1" applyAlignment="1">
      <alignment horizontal="center" vertical="center"/>
    </xf>
    <xf numFmtId="0" fontId="0" fillId="4" borderId="0" xfId="0" applyFill="1" applyBorder="1"/>
    <xf numFmtId="0" fontId="0" fillId="5" borderId="0" xfId="0" applyFill="1" applyBorder="1"/>
    <xf numFmtId="0" fontId="0" fillId="7" borderId="0" xfId="0" applyFill="1" applyBorder="1"/>
    <xf numFmtId="0" fontId="1" fillId="2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v>Weight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20-4BB4-AF72-9DF1527F5D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20-4BB4-AF72-9DF1527F5D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D20-4BB4-AF72-9DF1527F5DF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D20-4BB4-AF72-9DF1527F5DF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D20-4BB4-AF72-9DF1527F5DF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D20-4BB4-AF72-9DF1527F5DF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D20-4BB4-AF72-9DF1527F5DF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D20-4BB4-AF72-9DF1527F5DF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D20-4BB4-AF72-9DF1527F5DF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D20-4BB4-AF72-9DF1527F5DF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D20-4BB4-AF72-9DF1527F5DF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D20-4BB4-AF72-9DF1527F5DF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D20-4BB4-AF72-9DF1527F5DF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D20-4BB4-AF72-9DF1527F5DFC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5D20-4BB4-AF72-9DF1527F5DFC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5D20-4BB4-AF72-9DF1527F5DFC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5D20-4BB4-AF72-9DF1527F5DFC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5D20-4BB4-AF72-9DF1527F5DFC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5D20-4BB4-AF72-9DF1527F5DFC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5D20-4BB4-AF72-9DF1527F5DFC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5D20-4BB4-AF72-9DF1527F5D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Feuil1!$A$4:$A$23</c:f>
              <c:strCache>
                <c:ptCount val="20"/>
                <c:pt idx="0">
                  <c:v>Landing legs</c:v>
                </c:pt>
                <c:pt idx="1">
                  <c:v>ESC</c:v>
                </c:pt>
                <c:pt idx="2">
                  <c:v>Battery</c:v>
                </c:pt>
                <c:pt idx="3">
                  <c:v>Edf holder</c:v>
                </c:pt>
                <c:pt idx="4">
                  <c:v>EDF</c:v>
                </c:pt>
                <c:pt idx="5">
                  <c:v>Telemetry &amp; cable</c:v>
                </c:pt>
                <c:pt idx="6">
                  <c:v>VN300 &amp; cable</c:v>
                </c:pt>
                <c:pt idx="7">
                  <c:v>LiDAR &amp; cable</c:v>
                </c:pt>
                <c:pt idx="8">
                  <c:v>OpticalFlow &amp; cable</c:v>
                </c:pt>
                <c:pt idx="9">
                  <c:v>GNSS cable &amp; antenna</c:v>
                </c:pt>
                <c:pt idx="10">
                  <c:v>Profile 20cm</c:v>
                </c:pt>
                <c:pt idx="11">
                  <c:v>Servo Holder</c:v>
                </c:pt>
                <c:pt idx="13">
                  <c:v>Simple XT90</c:v>
                </c:pt>
                <c:pt idx="14">
                  <c:v>Flight Computer</c:v>
                </c:pt>
                <c:pt idx="15">
                  <c:v>Structure Holder</c:v>
                </c:pt>
                <c:pt idx="16">
                  <c:v>Cheminee AERO</c:v>
                </c:pt>
                <c:pt idx="17">
                  <c:v>Transition</c:v>
                </c:pt>
                <c:pt idx="18">
                  <c:v>Stator AERO</c:v>
                </c:pt>
                <c:pt idx="19">
                  <c:v>Carbon fiber tube</c:v>
                </c:pt>
              </c:strCache>
            </c:strRef>
          </c:cat>
          <c:val>
            <c:numRef>
              <c:f>Feuil1!$D$4:$D$24</c:f>
              <c:numCache>
                <c:formatCode>General</c:formatCode>
                <c:ptCount val="21"/>
                <c:pt idx="0">
                  <c:v>108</c:v>
                </c:pt>
                <c:pt idx="1">
                  <c:v>107</c:v>
                </c:pt>
                <c:pt idx="2">
                  <c:v>530</c:v>
                </c:pt>
                <c:pt idx="3">
                  <c:v>0</c:v>
                </c:pt>
                <c:pt idx="4">
                  <c:v>440</c:v>
                </c:pt>
                <c:pt idx="5">
                  <c:v>25</c:v>
                </c:pt>
                <c:pt idx="6">
                  <c:v>45</c:v>
                </c:pt>
                <c:pt idx="7">
                  <c:v>26</c:v>
                </c:pt>
                <c:pt idx="8">
                  <c:v>12</c:v>
                </c:pt>
                <c:pt idx="9">
                  <c:v>60</c:v>
                </c:pt>
                <c:pt idx="10">
                  <c:v>78</c:v>
                </c:pt>
                <c:pt idx="11">
                  <c:v>60</c:v>
                </c:pt>
                <c:pt idx="13">
                  <c:v>42</c:v>
                </c:pt>
                <c:pt idx="14">
                  <c:v>37</c:v>
                </c:pt>
                <c:pt idx="15">
                  <c:v>45</c:v>
                </c:pt>
                <c:pt idx="16">
                  <c:v>0</c:v>
                </c:pt>
                <c:pt idx="17">
                  <c:v>0</c:v>
                </c:pt>
                <c:pt idx="18">
                  <c:v>30</c:v>
                </c:pt>
                <c:pt idx="19">
                  <c:v>12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1B-421A-B6BD-52FEC16B1EED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757417</xdr:colOff>
      <xdr:row>21</xdr:row>
      <xdr:rowOff>55873</xdr:rowOff>
    </xdr:from>
    <xdr:to>
      <xdr:col>40</xdr:col>
      <xdr:colOff>695323</xdr:colOff>
      <xdr:row>71</xdr:row>
      <xdr:rowOff>71881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3FC9228-5399-1278-99EF-41FEEC2FA3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hobbyking.com/en_us/turnigy-nano-tech-plus-3000mah-3s-70c-lipo-battery-pack-w-xt90.html?srsltid=AfmBOoqRCE6KpDOVjOqM6RyHdvTFc2FLSovDoro1nFC30BkdZ-zcraiz" TargetMode="External"/><Relationship Id="rId7" Type="http://schemas.openxmlformats.org/officeDocument/2006/relationships/hyperlink" Target="https://hobbyking.com/fr_fr/turnigy-battery-heavy-duty-5000mah-6s-60c-lipo-pack-xt-90.html?srsltid=AfmBOoop0LqooxwAppBlUoh1jbJi-sADrv9CzvUENfkccgHBM8kc-2co" TargetMode="External"/><Relationship Id="rId2" Type="http://schemas.openxmlformats.org/officeDocument/2006/relationships/hyperlink" Target="https://hobbyking.com/dr-mad-thrust-90mm-12-blade-alloy-edf-1600kv-motor-2100w-6s.html?srsltid=AfmBOooh3zInOLOmeOM-EXRGBrj3bFHkqiqOsjwa6bwaNe8eHgqOCABC" TargetMode="External"/><Relationship Id="rId1" Type="http://schemas.openxmlformats.org/officeDocument/2006/relationships/hyperlink" Target="https://hobbyking.com/es_es/aerostar-100a-rvs-g2-32bit-2-6s-electronic-speed-controller-w-reverse-function-8a-5-6v-sbec.html?srsltid=AfmBOooQcBt7Hf1SFMpz7GYUluZOSbSNrRvWplm5zt4RgHCz04smnUtu" TargetMode="External"/><Relationship Id="rId6" Type="http://schemas.openxmlformats.org/officeDocument/2006/relationships/hyperlink" Target="https://mail.google.com/mail/u/0/" TargetMode="External"/><Relationship Id="rId5" Type="http://schemas.openxmlformats.org/officeDocument/2006/relationships/hyperlink" Target="https://mail.google.com/mail/u/0/" TargetMode="External"/><Relationship Id="rId4" Type="http://schemas.openxmlformats.org/officeDocument/2006/relationships/hyperlink" Target="https://www.amazon.fr/sourcing-map-Carbone-Envelopp%C3%A9-Quadcopter/dp/B099881YNL/ref=sr_1_1?__mk_fr_FR=%C3%85M%C3%85%C5%BD%C3%95%C3%91&amp;crid=34V7UZTSFM6JI&amp;dib=eyJ2IjoiMSJ9.NnFZVPT_o-epAEIQVC-dGtfw_VIJKtRwwvZzxZfnl9MPzB2vE38vwkvJQJykPbDgSli0esrX3qCXEm255yMCOhfxGNsA0QR8SoQqun-WMWnrhetifHyK4o4lGa9o0_ASQ6fi83jRgsj1nTEOFjKnBR_UkvUbDcRXMModiJVyGGx7kdVxaGVP5Y1OmuRvgroPQ_7BywTJN-vGudYhJ-0q8TcF9HZthyBzK26OZucHY1vrYl3elNu7JwYn1xc3S5mLEU6gNG-A2oxsaP_b3C4K_WOJIuduu-koyVAAIF18ob0.QuHKWJwMpBaZGC4y-yemUSPpoz5QzbGnCZvaLJv0GLc&amp;dib_tag=se&amp;keywords=tube+carbonne+200mm&amp;qid=1786888403&amp;sprefix=tube+carbonne+200mm%2Caps%2C300&amp;sr=8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43134-4BEF-4687-9116-4D9336CD4254}">
  <dimension ref="A1:AA52"/>
  <sheetViews>
    <sheetView tabSelected="1" zoomScale="90" zoomScaleNormal="90" workbookViewId="0">
      <selection activeCell="C6" sqref="C6"/>
    </sheetView>
  </sheetViews>
  <sheetFormatPr baseColWidth="10" defaultRowHeight="15" x14ac:dyDescent="0.25"/>
  <cols>
    <col min="1" max="1" width="19.140625" customWidth="1"/>
    <col min="2" max="2" width="12.7109375" customWidth="1"/>
    <col min="5" max="5" width="3.140625" customWidth="1"/>
    <col min="6" max="6" width="38.42578125" customWidth="1"/>
    <col min="16" max="16" width="11.42578125" customWidth="1"/>
    <col min="22" max="22" width="82.42578125" customWidth="1"/>
    <col min="25" max="26" width="11.42578125" customWidth="1"/>
  </cols>
  <sheetData>
    <row r="1" spans="1:27" x14ac:dyDescent="0.25">
      <c r="A1" s="32" t="s">
        <v>19</v>
      </c>
      <c r="B1" s="32"/>
      <c r="C1" s="32"/>
      <c r="D1" s="32"/>
      <c r="E1" s="32"/>
      <c r="F1" s="32"/>
      <c r="G1" s="32"/>
      <c r="H1" s="32"/>
    </row>
    <row r="2" spans="1:27" x14ac:dyDescent="0.25">
      <c r="A2" s="32"/>
      <c r="B2" s="32"/>
      <c r="C2" s="32"/>
      <c r="D2" s="32"/>
      <c r="E2" s="32"/>
      <c r="F2" s="32"/>
      <c r="G2" s="32"/>
      <c r="H2" s="32"/>
    </row>
    <row r="3" spans="1:27" x14ac:dyDescent="0.25">
      <c r="A3" s="2" t="s">
        <v>0</v>
      </c>
      <c r="B3" s="3" t="s">
        <v>1</v>
      </c>
      <c r="C3" s="3" t="s">
        <v>2</v>
      </c>
      <c r="D3" s="33" t="s">
        <v>3</v>
      </c>
      <c r="E3" s="34"/>
      <c r="F3" s="28"/>
      <c r="V3" t="s">
        <v>0</v>
      </c>
      <c r="W3" t="s">
        <v>33</v>
      </c>
      <c r="X3" t="s">
        <v>35</v>
      </c>
      <c r="Y3" t="s">
        <v>36</v>
      </c>
      <c r="Z3" t="s">
        <v>38</v>
      </c>
      <c r="AA3" t="s">
        <v>39</v>
      </c>
    </row>
    <row r="4" spans="1:27" x14ac:dyDescent="0.25">
      <c r="A4" s="11" t="s">
        <v>4</v>
      </c>
      <c r="B4" s="20">
        <v>4</v>
      </c>
      <c r="C4" s="7">
        <v>27</v>
      </c>
      <c r="D4" s="7">
        <f>C4*B4</f>
        <v>108</v>
      </c>
      <c r="E4" s="7" t="s">
        <v>5</v>
      </c>
      <c r="F4" s="29"/>
      <c r="I4" s="16" t="s">
        <v>3</v>
      </c>
      <c r="J4" s="16">
        <f>SUM(D3:D34)</f>
        <v>1657</v>
      </c>
      <c r="K4" s="16" t="s">
        <v>5</v>
      </c>
      <c r="O4" s="8"/>
      <c r="P4" t="s">
        <v>25</v>
      </c>
      <c r="Q4" t="s">
        <v>26</v>
      </c>
      <c r="V4" s="27" t="s">
        <v>32</v>
      </c>
      <c r="W4">
        <v>4</v>
      </c>
      <c r="X4">
        <v>287</v>
      </c>
      <c r="Y4">
        <v>3</v>
      </c>
      <c r="Z4">
        <v>3</v>
      </c>
      <c r="AA4">
        <f>X4/1000/Y4/Z4</f>
        <v>3.188888888888889E-2</v>
      </c>
    </row>
    <row r="5" spans="1:27" x14ac:dyDescent="0.25">
      <c r="A5" s="12" t="s">
        <v>6</v>
      </c>
      <c r="B5" s="21">
        <v>1</v>
      </c>
      <c r="C5" s="10">
        <v>107</v>
      </c>
      <c r="D5" s="10">
        <f t="shared" ref="D5:D24" si="0">C5*B5</f>
        <v>107</v>
      </c>
      <c r="E5" s="10" t="s">
        <v>5</v>
      </c>
      <c r="F5" s="30"/>
      <c r="G5" s="4"/>
      <c r="I5" s="1" t="s">
        <v>7</v>
      </c>
      <c r="J5" s="1">
        <v>2000</v>
      </c>
      <c r="K5" s="1" t="s">
        <v>5</v>
      </c>
      <c r="O5" s="9"/>
      <c r="P5" t="s">
        <v>25</v>
      </c>
      <c r="Q5" t="s">
        <v>27</v>
      </c>
      <c r="V5" s="27" t="s">
        <v>34</v>
      </c>
      <c r="W5">
        <v>4</v>
      </c>
      <c r="X5">
        <v>440</v>
      </c>
      <c r="Y5">
        <v>6</v>
      </c>
      <c r="Z5">
        <v>3</v>
      </c>
      <c r="AA5">
        <f t="shared" ref="AA5:AA6" si="1">X5/1000/Y5/Z5</f>
        <v>2.4444444444444446E-2</v>
      </c>
    </row>
    <row r="6" spans="1:27" x14ac:dyDescent="0.25">
      <c r="A6" s="15" t="s">
        <v>28</v>
      </c>
      <c r="B6" s="21">
        <v>2</v>
      </c>
      <c r="C6" s="10">
        <v>265</v>
      </c>
      <c r="D6" s="10">
        <f t="shared" si="0"/>
        <v>530</v>
      </c>
      <c r="E6" s="10" t="s">
        <v>5</v>
      </c>
      <c r="F6" s="30"/>
      <c r="G6" s="4"/>
      <c r="I6" s="1" t="s">
        <v>8</v>
      </c>
      <c r="J6" s="1">
        <f>J5-J4</f>
        <v>343</v>
      </c>
      <c r="K6" s="1" t="s">
        <v>5</v>
      </c>
      <c r="O6" s="26"/>
      <c r="P6" t="s">
        <v>25</v>
      </c>
      <c r="Q6" t="s">
        <v>31</v>
      </c>
      <c r="V6" s="27" t="s">
        <v>37</v>
      </c>
      <c r="W6">
        <v>2</v>
      </c>
      <c r="X6">
        <v>838</v>
      </c>
      <c r="Y6">
        <v>5</v>
      </c>
      <c r="Z6">
        <v>6</v>
      </c>
      <c r="AA6">
        <f t="shared" si="1"/>
        <v>2.7933333333333334E-2</v>
      </c>
    </row>
    <row r="7" spans="1:27" x14ac:dyDescent="0.25">
      <c r="A7" s="13" t="s">
        <v>9</v>
      </c>
      <c r="B7" s="22"/>
      <c r="C7" s="1"/>
      <c r="D7" s="7">
        <f t="shared" si="0"/>
        <v>0</v>
      </c>
      <c r="E7" s="1" t="s">
        <v>5</v>
      </c>
      <c r="F7" s="4"/>
      <c r="G7" s="4"/>
      <c r="I7" s="1"/>
      <c r="J7" s="1"/>
      <c r="K7" s="1"/>
    </row>
    <row r="8" spans="1:27" x14ac:dyDescent="0.25">
      <c r="A8" s="12" t="s">
        <v>10</v>
      </c>
      <c r="B8" s="21">
        <v>1</v>
      </c>
      <c r="C8" s="10">
        <v>440</v>
      </c>
      <c r="D8" s="10">
        <f t="shared" si="0"/>
        <v>440</v>
      </c>
      <c r="E8" s="10" t="s">
        <v>5</v>
      </c>
      <c r="F8" s="30"/>
      <c r="G8" s="4"/>
      <c r="I8" s="1" t="s">
        <v>11</v>
      </c>
      <c r="J8" s="1">
        <f>J5-J4</f>
        <v>343</v>
      </c>
      <c r="K8" s="1" t="s">
        <v>5</v>
      </c>
    </row>
    <row r="9" spans="1:27" x14ac:dyDescent="0.25">
      <c r="A9" s="14" t="s">
        <v>24</v>
      </c>
      <c r="B9" s="20">
        <v>1</v>
      </c>
      <c r="C9" s="7">
        <v>25</v>
      </c>
      <c r="D9" s="7">
        <f t="shared" si="0"/>
        <v>25</v>
      </c>
      <c r="E9" s="7" t="s">
        <v>5</v>
      </c>
      <c r="F9" s="29"/>
      <c r="G9" s="4"/>
    </row>
    <row r="10" spans="1:27" x14ac:dyDescent="0.25">
      <c r="A10" s="14" t="s">
        <v>20</v>
      </c>
      <c r="B10" s="20">
        <v>1</v>
      </c>
      <c r="C10" s="7">
        <v>45</v>
      </c>
      <c r="D10" s="7">
        <f t="shared" si="0"/>
        <v>45</v>
      </c>
      <c r="E10" s="7" t="s">
        <v>5</v>
      </c>
      <c r="F10" s="29"/>
      <c r="G10" s="4"/>
      <c r="P10">
        <v>304.3</v>
      </c>
      <c r="R10">
        <v>6</v>
      </c>
    </row>
    <row r="11" spans="1:27" x14ac:dyDescent="0.25">
      <c r="A11" s="14" t="s">
        <v>21</v>
      </c>
      <c r="B11" s="20">
        <v>1</v>
      </c>
      <c r="C11" s="7">
        <v>26</v>
      </c>
      <c r="D11" s="7">
        <f t="shared" si="0"/>
        <v>26</v>
      </c>
      <c r="E11" s="7" t="s">
        <v>5</v>
      </c>
      <c r="F11" s="29"/>
      <c r="G11" s="4"/>
    </row>
    <row r="12" spans="1:27" x14ac:dyDescent="0.25">
      <c r="A12" s="14" t="s">
        <v>22</v>
      </c>
      <c r="B12" s="20">
        <v>1</v>
      </c>
      <c r="C12" s="7">
        <v>12</v>
      </c>
      <c r="D12" s="7">
        <f t="shared" si="0"/>
        <v>12</v>
      </c>
      <c r="E12" s="7"/>
      <c r="F12" s="29"/>
      <c r="G12" s="4"/>
      <c r="P12" t="s">
        <v>41</v>
      </c>
      <c r="Q12" t="s">
        <v>40</v>
      </c>
      <c r="R12" t="s">
        <v>42</v>
      </c>
      <c r="S12" t="s">
        <v>43</v>
      </c>
    </row>
    <row r="13" spans="1:27" x14ac:dyDescent="0.25">
      <c r="A13" s="14" t="s">
        <v>23</v>
      </c>
      <c r="B13" s="20">
        <v>2</v>
      </c>
      <c r="C13" s="7">
        <v>30</v>
      </c>
      <c r="D13" s="7">
        <f t="shared" si="0"/>
        <v>60</v>
      </c>
      <c r="E13" s="7" t="s">
        <v>5</v>
      </c>
      <c r="F13" s="29"/>
      <c r="G13" s="4"/>
      <c r="P13">
        <v>0.1</v>
      </c>
      <c r="Q13">
        <f>P$10*(P13^(3/2))</f>
        <v>9.6228109198923804</v>
      </c>
      <c r="R13">
        <f>R$10*4.2</f>
        <v>25.200000000000003</v>
      </c>
      <c r="S13">
        <f>Q13/R13</f>
        <v>0.38185757618620553</v>
      </c>
      <c r="V13">
        <v>1166</v>
      </c>
      <c r="W13">
        <f>V13-D8-D5-C20-D15-D17-D14</f>
        <v>399</v>
      </c>
    </row>
    <row r="14" spans="1:27" x14ac:dyDescent="0.25">
      <c r="A14" s="13" t="s">
        <v>12</v>
      </c>
      <c r="B14" s="22">
        <v>4</v>
      </c>
      <c r="C14" s="1">
        <f>1.3 *15</f>
        <v>19.5</v>
      </c>
      <c r="D14" s="17">
        <f t="shared" si="0"/>
        <v>78</v>
      </c>
      <c r="E14" s="1" t="s">
        <v>5</v>
      </c>
      <c r="F14" s="4"/>
      <c r="G14" s="4">
        <v>164</v>
      </c>
      <c r="H14">
        <f>G14-D14</f>
        <v>86</v>
      </c>
      <c r="P14">
        <v>0.25</v>
      </c>
      <c r="Q14">
        <f t="shared" ref="Q14:Q21" si="2">P$10*(P14^(3/2))</f>
        <v>38.037500000000009</v>
      </c>
      <c r="R14">
        <f t="shared" ref="R14:R21" si="3">R$10*4.2</f>
        <v>25.200000000000003</v>
      </c>
      <c r="S14">
        <f t="shared" ref="S14:S21" si="4">Q14/R14</f>
        <v>1.5094246031746033</v>
      </c>
      <c r="V14">
        <v>1100</v>
      </c>
      <c r="W14">
        <f>V14+D4</f>
        <v>1208</v>
      </c>
      <c r="X14">
        <f>W14-V13</f>
        <v>42</v>
      </c>
    </row>
    <row r="15" spans="1:27" x14ac:dyDescent="0.25">
      <c r="A15" s="23" t="s">
        <v>30</v>
      </c>
      <c r="B15" s="24">
        <v>4</v>
      </c>
      <c r="C15" s="25">
        <v>15</v>
      </c>
      <c r="D15" s="25">
        <f t="shared" si="0"/>
        <v>60</v>
      </c>
      <c r="E15" s="25" t="s">
        <v>5</v>
      </c>
      <c r="F15" s="31"/>
      <c r="G15" s="4">
        <f>1.3*4*30</f>
        <v>156</v>
      </c>
      <c r="P15">
        <f>P14*2</f>
        <v>0.5</v>
      </c>
      <c r="Q15">
        <f t="shared" si="2"/>
        <v>107.58629675753322</v>
      </c>
      <c r="R15">
        <f t="shared" si="3"/>
        <v>25.200000000000003</v>
      </c>
      <c r="S15">
        <f t="shared" si="4"/>
        <v>4.2692974903783023</v>
      </c>
    </row>
    <row r="16" spans="1:27" x14ac:dyDescent="0.25">
      <c r="A16" s="19"/>
      <c r="B16" s="21"/>
      <c r="C16" s="10"/>
      <c r="D16" s="10"/>
      <c r="E16" s="10"/>
      <c r="F16" s="30"/>
      <c r="G16" s="4"/>
      <c r="P16">
        <f>P15*2</f>
        <v>1</v>
      </c>
      <c r="Q16">
        <f t="shared" si="2"/>
        <v>304.3</v>
      </c>
      <c r="R16">
        <f t="shared" si="3"/>
        <v>25.200000000000003</v>
      </c>
      <c r="S16">
        <f t="shared" si="4"/>
        <v>12.075396825396824</v>
      </c>
    </row>
    <row r="17" spans="1:19" x14ac:dyDescent="0.25">
      <c r="A17" s="19" t="s">
        <v>13</v>
      </c>
      <c r="B17" s="21">
        <v>1</v>
      </c>
      <c r="C17" s="10">
        <v>42</v>
      </c>
      <c r="D17" s="10">
        <f t="shared" si="0"/>
        <v>42</v>
      </c>
      <c r="E17" s="10" t="s">
        <v>5</v>
      </c>
      <c r="F17" s="30"/>
      <c r="G17" s="4"/>
      <c r="P17">
        <f>P16*2</f>
        <v>2</v>
      </c>
      <c r="Q17">
        <f t="shared" si="2"/>
        <v>860.69037406026564</v>
      </c>
      <c r="R17">
        <f t="shared" si="3"/>
        <v>25.200000000000003</v>
      </c>
      <c r="S17">
        <f t="shared" si="4"/>
        <v>34.154379923026411</v>
      </c>
    </row>
    <row r="18" spans="1:19" x14ac:dyDescent="0.25">
      <c r="A18" s="14" t="s">
        <v>14</v>
      </c>
      <c r="B18" s="20">
        <v>1</v>
      </c>
      <c r="C18" s="7">
        <v>37</v>
      </c>
      <c r="D18" s="7">
        <f t="shared" si="0"/>
        <v>37</v>
      </c>
      <c r="E18" s="7" t="s">
        <v>5</v>
      </c>
      <c r="F18" s="29"/>
      <c r="G18" s="4"/>
      <c r="P18">
        <v>2.5</v>
      </c>
      <c r="Q18">
        <f t="shared" si="2"/>
        <v>1202.8513649865474</v>
      </c>
      <c r="R18">
        <f t="shared" si="3"/>
        <v>25.200000000000003</v>
      </c>
      <c r="S18">
        <f t="shared" si="4"/>
        <v>47.732197023275688</v>
      </c>
    </row>
    <row r="19" spans="1:19" x14ac:dyDescent="0.25">
      <c r="A19" s="14" t="s">
        <v>15</v>
      </c>
      <c r="B19" s="20">
        <v>3</v>
      </c>
      <c r="C19" s="7">
        <v>15</v>
      </c>
      <c r="D19" s="7">
        <f t="shared" si="0"/>
        <v>45</v>
      </c>
      <c r="E19" s="7" t="s">
        <v>5</v>
      </c>
      <c r="F19" s="29"/>
      <c r="G19" s="4"/>
      <c r="P19">
        <v>3</v>
      </c>
      <c r="Q19">
        <f t="shared" si="2"/>
        <v>1581.1891822296282</v>
      </c>
      <c r="R19">
        <f t="shared" si="3"/>
        <v>25.200000000000003</v>
      </c>
      <c r="S19">
        <f t="shared" si="4"/>
        <v>62.745602469429684</v>
      </c>
    </row>
    <row r="20" spans="1:19" x14ac:dyDescent="0.25">
      <c r="A20" s="13" t="s">
        <v>16</v>
      </c>
      <c r="B20" s="22"/>
      <c r="C20" s="1">
        <v>40</v>
      </c>
      <c r="D20" s="17">
        <f t="shared" si="0"/>
        <v>0</v>
      </c>
      <c r="E20" s="1" t="s">
        <v>5</v>
      </c>
      <c r="F20" s="4"/>
      <c r="G20" s="4"/>
      <c r="P20">
        <v>3.5</v>
      </c>
      <c r="Q20">
        <f t="shared" si="2"/>
        <v>1992.5260998917936</v>
      </c>
      <c r="R20">
        <f t="shared" si="3"/>
        <v>25.200000000000003</v>
      </c>
      <c r="S20">
        <f t="shared" si="4"/>
        <v>79.068496027452113</v>
      </c>
    </row>
    <row r="21" spans="1:19" x14ac:dyDescent="0.25">
      <c r="A21" s="13" t="s">
        <v>17</v>
      </c>
      <c r="B21" s="22"/>
      <c r="C21" s="1">
        <v>11</v>
      </c>
      <c r="D21" s="17">
        <f t="shared" si="0"/>
        <v>0</v>
      </c>
      <c r="E21" s="1" t="s">
        <v>5</v>
      </c>
      <c r="F21" s="4"/>
      <c r="G21" s="4"/>
      <c r="P21">
        <v>3.8</v>
      </c>
      <c r="Q21">
        <f t="shared" si="2"/>
        <v>2254.1216345352796</v>
      </c>
      <c r="R21">
        <f t="shared" si="3"/>
        <v>25.200000000000003</v>
      </c>
      <c r="S21">
        <f t="shared" si="4"/>
        <v>89.449271211717431</v>
      </c>
    </row>
    <row r="22" spans="1:19" x14ac:dyDescent="0.25">
      <c r="A22" s="23" t="s">
        <v>18</v>
      </c>
      <c r="B22" s="24">
        <v>1</v>
      </c>
      <c r="C22" s="25">
        <v>30</v>
      </c>
      <c r="D22" s="25">
        <f t="shared" si="0"/>
        <v>30</v>
      </c>
      <c r="E22" s="25" t="s">
        <v>5</v>
      </c>
      <c r="F22" s="31"/>
      <c r="G22" s="4"/>
    </row>
    <row r="23" spans="1:19" x14ac:dyDescent="0.25">
      <c r="A23" s="18" t="s">
        <v>29</v>
      </c>
      <c r="B23" s="22">
        <v>2</v>
      </c>
      <c r="C23" s="1">
        <v>6</v>
      </c>
      <c r="D23" s="17">
        <f t="shared" si="0"/>
        <v>12</v>
      </c>
      <c r="E23" s="1" t="s">
        <v>5</v>
      </c>
      <c r="F23" s="4"/>
      <c r="G23" s="4"/>
    </row>
    <row r="24" spans="1:19" x14ac:dyDescent="0.25">
      <c r="A24" s="13"/>
      <c r="B24" s="22"/>
      <c r="C24" s="1"/>
      <c r="D24" s="17">
        <f t="shared" si="0"/>
        <v>0</v>
      </c>
      <c r="E24" s="1" t="s">
        <v>5</v>
      </c>
      <c r="F24" s="4"/>
      <c r="G24" s="4"/>
    </row>
    <row r="25" spans="1:19" x14ac:dyDescent="0.25">
      <c r="A25" s="13"/>
      <c r="B25" s="22"/>
      <c r="C25" s="1"/>
      <c r="D25" s="17"/>
      <c r="E25" s="1"/>
      <c r="F25" s="4"/>
      <c r="G25" s="4"/>
    </row>
    <row r="26" spans="1:19" x14ac:dyDescent="0.25">
      <c r="A26" s="13"/>
      <c r="B26" s="22"/>
      <c r="C26" s="1"/>
      <c r="D26" s="1"/>
      <c r="E26" s="1"/>
      <c r="F26" s="4"/>
      <c r="G26" s="4"/>
    </row>
    <row r="27" spans="1:19" x14ac:dyDescent="0.25">
      <c r="A27" s="13"/>
      <c r="B27" s="1"/>
      <c r="C27" s="1"/>
      <c r="D27" s="1"/>
      <c r="E27" s="1"/>
      <c r="F27" s="4"/>
      <c r="G27" s="4"/>
    </row>
    <row r="28" spans="1:19" x14ac:dyDescent="0.25">
      <c r="A28" s="13"/>
      <c r="B28" s="1"/>
      <c r="C28" s="1"/>
      <c r="D28" s="1"/>
      <c r="E28" s="1"/>
      <c r="F28" s="4"/>
      <c r="G28" s="4"/>
    </row>
    <row r="29" spans="1:19" x14ac:dyDescent="0.25">
      <c r="A29" s="13"/>
      <c r="B29" s="1"/>
      <c r="C29" s="1"/>
      <c r="D29" s="1"/>
      <c r="E29" s="1"/>
      <c r="F29" s="4"/>
      <c r="G29" s="4"/>
    </row>
    <row r="30" spans="1:19" x14ac:dyDescent="0.25">
      <c r="A30" s="13"/>
      <c r="B30" s="1"/>
      <c r="C30" s="1"/>
      <c r="D30" s="1"/>
      <c r="E30" s="1"/>
      <c r="F30" s="4"/>
      <c r="G30" s="4"/>
    </row>
    <row r="31" spans="1:19" x14ac:dyDescent="0.25">
      <c r="A31" s="13"/>
      <c r="B31" s="1"/>
      <c r="C31" s="1"/>
      <c r="D31" s="1"/>
      <c r="E31" s="1"/>
      <c r="F31" s="4"/>
      <c r="G31" s="4"/>
    </row>
    <row r="32" spans="1:19" x14ac:dyDescent="0.25">
      <c r="A32" s="13"/>
      <c r="B32" s="1"/>
      <c r="C32" s="1"/>
      <c r="D32" s="1"/>
      <c r="E32" s="1"/>
      <c r="F32" s="4"/>
      <c r="G32" s="4"/>
    </row>
    <row r="33" spans="1:8" x14ac:dyDescent="0.25">
      <c r="A33" s="5"/>
      <c r="B33" s="1"/>
      <c r="C33" s="1"/>
      <c r="D33" s="1"/>
      <c r="E33" s="1"/>
      <c r="F33" s="4"/>
      <c r="G33" s="4"/>
    </row>
    <row r="34" spans="1:8" ht="15.75" thickBot="1" x14ac:dyDescent="0.3">
      <c r="A34" s="6"/>
      <c r="B34" s="1"/>
      <c r="C34" s="1"/>
      <c r="D34" s="1"/>
      <c r="E34" s="1"/>
      <c r="F34" s="4"/>
      <c r="G34" s="4"/>
    </row>
    <row r="38" spans="1:8" x14ac:dyDescent="0.25">
      <c r="A38" t="s">
        <v>49</v>
      </c>
      <c r="B38" t="str">
        <f>"+elec no batt"</f>
        <v>+elec no batt</v>
      </c>
      <c r="C38" t="str">
        <f>"+ bat"</f>
        <v>+ bat</v>
      </c>
      <c r="G38" t="s">
        <v>44</v>
      </c>
    </row>
    <row r="39" spans="1:8" x14ac:dyDescent="0.25">
      <c r="A39">
        <v>1170</v>
      </c>
      <c r="B39">
        <f>A39+C18+C12+D13+C9+C11</f>
        <v>1330</v>
      </c>
      <c r="C39">
        <f>B39+D6</f>
        <v>1860</v>
      </c>
      <c r="F39">
        <f>D4+D15</f>
        <v>168</v>
      </c>
    </row>
    <row r="40" spans="1:8" x14ac:dyDescent="0.25">
      <c r="F40">
        <f>D20+D17+D14+D8+D5</f>
        <v>667</v>
      </c>
      <c r="G40">
        <v>830</v>
      </c>
    </row>
    <row r="44" spans="1:8" x14ac:dyDescent="0.25">
      <c r="E44" t="s">
        <v>48</v>
      </c>
      <c r="F44" t="s">
        <v>47</v>
      </c>
      <c r="G44" t="s">
        <v>45</v>
      </c>
      <c r="H44" t="s">
        <v>46</v>
      </c>
    </row>
    <row r="45" spans="1:8" x14ac:dyDescent="0.25">
      <c r="E45">
        <f>D6</f>
        <v>530</v>
      </c>
      <c r="F45">
        <f>D18+D13+D12+D11+D10+D9</f>
        <v>205</v>
      </c>
      <c r="G45">
        <f>G40+300</f>
        <v>1130</v>
      </c>
      <c r="H45">
        <f>30</f>
        <v>30</v>
      </c>
    </row>
    <row r="49" spans="3:6" x14ac:dyDescent="0.25">
      <c r="C49" t="s">
        <v>3</v>
      </c>
      <c r="D49">
        <f>E45+F45+G45+H45</f>
        <v>1895</v>
      </c>
    </row>
    <row r="52" spans="3:6" x14ac:dyDescent="0.25">
      <c r="F52" t="s">
        <v>50</v>
      </c>
    </row>
  </sheetData>
  <mergeCells count="2">
    <mergeCell ref="A1:H2"/>
    <mergeCell ref="D3:E3"/>
  </mergeCells>
  <hyperlinks>
    <hyperlink ref="A5" r:id="rId1" xr:uid="{640E7816-800A-44B6-B254-3F7496FE2862}"/>
    <hyperlink ref="A8" r:id="rId2" xr:uid="{6CFE664B-910F-4B72-BAD9-44B28ABF7916}"/>
    <hyperlink ref="A6" r:id="rId3" xr:uid="{39CF0902-36CF-48A1-A2B5-4D86A9F166A5}"/>
    <hyperlink ref="A23" r:id="rId4" xr:uid="{9B054A69-B1E8-4635-BDA3-D7F9B30F1DAA}"/>
    <hyperlink ref="V4" r:id="rId5" location="search/BATTERY/FMfcgzQXJQTdcZjlcFhLGxLmQZFnshJL" xr:uid="{AE2053A0-3FED-40FE-AF6D-289F7A4ECA02}"/>
    <hyperlink ref="V5" r:id="rId6" location="search/BATTERY/FMfcgzGrbvHZNWMMMMXtbdGVsKSvQLzm" xr:uid="{A7A44006-5A76-42A9-B2FC-10C440BE6441}"/>
    <hyperlink ref="V6" r:id="rId7" xr:uid="{912B8DC0-0A64-47FB-B6F1-49912AA1BEAC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Carrera</dc:creator>
  <cp:lastModifiedBy>Alex Carrera</cp:lastModifiedBy>
  <dcterms:created xsi:type="dcterms:W3CDTF">2026-08-16T13:17:24Z</dcterms:created>
  <dcterms:modified xsi:type="dcterms:W3CDTF">2026-10-01T17:03:20Z</dcterms:modified>
</cp:coreProperties>
</file>